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13_ncr:1_{BD90ECB2-ED53-47E2-BC1E-F9D2F739450F}" xr6:coauthVersionLast="47" xr6:coauthVersionMax="47" xr10:uidLastSave="{00000000-0000-0000-0000-000000000000}"/>
  <bookViews>
    <workbookView xWindow="-108" yWindow="-108" windowWidth="23256" windowHeight="13176" xr2:uid="{BF29E8DB-9702-41A8-A657-77B82976FB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C52" i="1"/>
  <c r="D52" i="1"/>
  <c r="C37" i="1"/>
  <c r="D37" i="1"/>
  <c r="D51" i="1"/>
  <c r="C51" i="1"/>
  <c r="D36" i="1"/>
  <c r="C36" i="1"/>
  <c r="D6" i="1"/>
  <c r="C6" i="1"/>
  <c r="D21" i="1"/>
  <c r="C21" i="1"/>
  <c r="D50" i="1"/>
  <c r="C50" i="1"/>
  <c r="D35" i="1"/>
  <c r="C35" i="1"/>
  <c r="D20" i="1"/>
  <c r="C20" i="1"/>
  <c r="D49" i="1"/>
  <c r="C49" i="1"/>
  <c r="C34" i="1"/>
  <c r="D34" i="1"/>
  <c r="D19" i="1"/>
  <c r="D33" i="1"/>
  <c r="C19" i="1"/>
  <c r="C5" i="1"/>
  <c r="D5" i="1"/>
  <c r="C48" i="1"/>
  <c r="D48" i="1"/>
  <c r="C33" i="1"/>
  <c r="D18" i="1"/>
  <c r="C18" i="1"/>
  <c r="D4" i="1"/>
  <c r="C4" i="1"/>
  <c r="C47" i="1"/>
  <c r="C32" i="1"/>
  <c r="C3" i="1"/>
  <c r="D17" i="1"/>
  <c r="D47" i="1"/>
  <c r="C2" i="1"/>
  <c r="C17" i="1"/>
  <c r="D32" i="1"/>
  <c r="D2" i="1"/>
  <c r="D3" i="1"/>
</calcChain>
</file>

<file path=xl/sharedStrings.xml><?xml version="1.0" encoding="utf-8"?>
<sst xmlns="http://schemas.openxmlformats.org/spreadsheetml/2006/main" count="65" uniqueCount="9">
  <si>
    <t>Número de baús</t>
  </si>
  <si>
    <t>Cruzado</t>
  </si>
  <si>
    <t>Moedas Relativas</t>
  </si>
  <si>
    <t>Multiplicadores</t>
  </si>
  <si>
    <t>Aleatório</t>
  </si>
  <si>
    <t>Emparelhado</t>
  </si>
  <si>
    <t>Xadrez</t>
  </si>
  <si>
    <t>Almas Relativas</t>
  </si>
  <si>
    <t>Estratégia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</si>
</sst>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0"/>
    <numFmt numFmtId="165" formatCode="0.000000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FB6A-23B8-470E-A9FF-3506362D0D0C}">
  <dimension ref="A1:G61"/>
  <sheetViews>
    <sheetView tabSelected="1" workbookViewId="0">
      <selection activeCell="C9" sqref="C9"/>
    </sheetView>
  </sheetViews>
  <sheetFormatPr defaultRowHeight="14.4" x14ac:dyDescent="0.3"/>
  <cols>
    <col min="1" max="1" width="11.6640625" style="1" bestFit="1" customWidth="1"/>
    <col min="2" max="2" width="14.21875" style="1" bestFit="1" customWidth="1"/>
    <col min="3" max="3" width="28.6640625" style="1" bestFit="1" customWidth="1"/>
    <col min="4" max="4" width="22.88671875" style="8" bestFit="1" customWidth="1"/>
    <col min="5" max="5" width="13.44140625" style="1" bestFit="1" customWidth="1"/>
  </cols>
  <sheetData>
    <row r="1" spans="1:7" ht="15" thickBot="1" x14ac:dyDescent="0.35">
      <c r="A1" s="3" t="s">
        <v>8</v>
      </c>
      <c r="B1" s="3" t="s">
        <v>0</v>
      </c>
      <c r="C1" s="3" t="s">
        <v>2</v>
      </c>
      <c r="D1" s="3" t="s">
        <v>7</v>
      </c>
      <c r="E1" s="3" t="s">
        <v>3</v>
      </c>
      <c r="F1" s="9"/>
      <c r="G1" s="9"/>
    </row>
    <row r="2" spans="1:7" x14ac:dyDescent="0.3">
      <c r="A2" s="1" t="s">
        <v>6</v>
      </c>
      <c r="B2" s="1">
        <v>8</v>
      </c>
      <c r="C2" s="2">
        <f>(0.03101/18.9)/1</f>
        <v>1.6407407407407408E-3</v>
      </c>
      <c r="D2" s="6">
        <f>741000000/5210000000</f>
        <v>0.14222648752399233</v>
      </c>
      <c r="E2" s="1">
        <v>19</v>
      </c>
    </row>
    <row r="3" spans="1:7" x14ac:dyDescent="0.3">
      <c r="A3" s="1" t="s">
        <v>6</v>
      </c>
      <c r="B3" s="1">
        <v>7</v>
      </c>
      <c r="C3" s="2">
        <f>(0.000161/18.9)/16</f>
        <v>5.3240740740740745E-7</v>
      </c>
      <c r="D3" s="6">
        <f>(0/5210000000)/1</f>
        <v>0</v>
      </c>
      <c r="E3" s="1">
        <v>6</v>
      </c>
    </row>
    <row r="4" spans="1:7" x14ac:dyDescent="0.3">
      <c r="A4" s="1" t="s">
        <v>6</v>
      </c>
      <c r="B4" s="1">
        <v>5</v>
      </c>
      <c r="C4" s="2">
        <f>(0.000406/29.1)</f>
        <v>1.3951890034364261E-5</v>
      </c>
      <c r="D4" s="6">
        <f>(502000000/5350000000)</f>
        <v>9.383177570093458E-2</v>
      </c>
      <c r="E4" s="1">
        <v>0</v>
      </c>
    </row>
    <row r="5" spans="1:7" x14ac:dyDescent="0.3">
      <c r="A5" s="1" t="s">
        <v>6</v>
      </c>
      <c r="B5" s="1">
        <v>19</v>
      </c>
      <c r="C5" s="2">
        <f>(0.0013/31.7)/10</f>
        <v>4.1009463722397477E-6</v>
      </c>
      <c r="D5" s="6">
        <f>(1560000000/6050000000000)</f>
        <v>2.5785123966942148E-4</v>
      </c>
      <c r="E5" s="1">
        <v>13</v>
      </c>
    </row>
    <row r="6" spans="1:7" x14ac:dyDescent="0.3">
      <c r="A6" s="1" t="s">
        <v>6</v>
      </c>
      <c r="B6" s="1">
        <v>16</v>
      </c>
      <c r="C6" s="2">
        <f>(0.000112/36.3)</f>
        <v>3.0853994490358127E-6</v>
      </c>
      <c r="D6" s="6">
        <f>(7440000000/6530000000000)</f>
        <v>1.1393568147013782E-3</v>
      </c>
      <c r="E6" s="1">
        <v>14</v>
      </c>
    </row>
    <row r="7" spans="1:7" x14ac:dyDescent="0.3">
      <c r="A7" s="1" t="s">
        <v>6</v>
      </c>
      <c r="C7" s="2"/>
      <c r="D7" s="6"/>
    </row>
    <row r="8" spans="1:7" x14ac:dyDescent="0.3">
      <c r="A8" s="1" t="s">
        <v>6</v>
      </c>
      <c r="B8" s="1">
        <v>18</v>
      </c>
      <c r="C8" s="1">
        <f>(1.5/7.98)/30</f>
        <v>6.2656641604010022E-3</v>
      </c>
      <c r="D8" s="6">
        <f>(4050000000/10300000000000)</f>
        <v>3.9320388349514565E-4</v>
      </c>
      <c r="E8" s="1">
        <v>21</v>
      </c>
    </row>
    <row r="9" spans="1:7" x14ac:dyDescent="0.3">
      <c r="A9" s="1" t="s">
        <v>6</v>
      </c>
      <c r="C9" s="2"/>
      <c r="D9" s="6"/>
    </row>
    <row r="10" spans="1:7" x14ac:dyDescent="0.3">
      <c r="A10" s="1" t="s">
        <v>6</v>
      </c>
      <c r="C10" s="2"/>
      <c r="D10" s="6"/>
    </row>
    <row r="11" spans="1:7" x14ac:dyDescent="0.3">
      <c r="A11" s="1" t="s">
        <v>6</v>
      </c>
      <c r="C11" s="2"/>
      <c r="D11" s="6"/>
    </row>
    <row r="12" spans="1:7" x14ac:dyDescent="0.3">
      <c r="A12" s="1" t="s">
        <v>6</v>
      </c>
      <c r="C12" s="2"/>
      <c r="D12" s="6"/>
    </row>
    <row r="13" spans="1:7" x14ac:dyDescent="0.3">
      <c r="A13" s="1" t="s">
        <v>6</v>
      </c>
      <c r="C13" s="2"/>
      <c r="D13" s="6"/>
    </row>
    <row r="14" spans="1:7" x14ac:dyDescent="0.3">
      <c r="A14" s="1" t="s">
        <v>6</v>
      </c>
      <c r="C14" s="2"/>
      <c r="D14" s="6"/>
    </row>
    <row r="15" spans="1:7" x14ac:dyDescent="0.3">
      <c r="A15" s="1" t="s">
        <v>6</v>
      </c>
      <c r="C15" s="2"/>
      <c r="D15" s="6"/>
    </row>
    <row r="16" spans="1:7" x14ac:dyDescent="0.3">
      <c r="A16" s="1" t="s">
        <v>6</v>
      </c>
      <c r="C16" s="2"/>
      <c r="D16" s="6"/>
    </row>
    <row r="17" spans="1:5" x14ac:dyDescent="0.3">
      <c r="A17" s="4" t="s">
        <v>5</v>
      </c>
      <c r="B17" s="4">
        <v>22</v>
      </c>
      <c r="C17" s="5">
        <f>(0.000305/18.9)/1</f>
        <v>1.613756613756614E-5</v>
      </c>
      <c r="D17" s="7">
        <f>(1740000000/5280000000)/1</f>
        <v>0.32954545454545453</v>
      </c>
      <c r="E17" s="4">
        <v>18</v>
      </c>
    </row>
    <row r="18" spans="1:5" x14ac:dyDescent="0.3">
      <c r="A18" s="1" t="s">
        <v>5</v>
      </c>
      <c r="B18" s="1">
        <v>16</v>
      </c>
      <c r="C18" s="2">
        <f>(0.000129/29.1)/35</f>
        <v>1.2665684830633283E-7</v>
      </c>
      <c r="D18" s="6">
        <f>(6.74/5420000000)/1</f>
        <v>1.2435424354243542E-9</v>
      </c>
      <c r="E18" s="1">
        <v>0</v>
      </c>
    </row>
    <row r="19" spans="1:5" x14ac:dyDescent="0.3">
      <c r="A19" s="1" t="s">
        <v>5</v>
      </c>
      <c r="B19" s="1">
        <v>13</v>
      </c>
      <c r="C19" s="2">
        <f>(0.00192/31.7)/10</f>
        <v>6.0567823343848586E-6</v>
      </c>
      <c r="D19" s="6">
        <f>(1890000000/6060000000000)</f>
        <v>3.1188118811881189E-4</v>
      </c>
      <c r="E19" s="1">
        <v>22</v>
      </c>
    </row>
    <row r="20" spans="1:5" x14ac:dyDescent="0.3">
      <c r="A20" s="1" t="s">
        <v>5</v>
      </c>
      <c r="B20" s="1">
        <v>9</v>
      </c>
      <c r="C20" s="2">
        <f>(0.00465/31.8)/1</f>
        <v>1.462264150943396E-4</v>
      </c>
      <c r="D20" s="6">
        <f>(1990000000/6140000000000)</f>
        <v>3.2410423452768728E-4</v>
      </c>
      <c r="E20" s="1">
        <v>11</v>
      </c>
    </row>
    <row r="21" spans="1:5" x14ac:dyDescent="0.3">
      <c r="A21" s="1" t="s">
        <v>5</v>
      </c>
      <c r="B21" s="1">
        <v>11</v>
      </c>
      <c r="C21" s="2">
        <f>(0.000349/39.2)</f>
        <v>8.9030612244897954E-6</v>
      </c>
      <c r="D21" s="6">
        <f>(505000000/7780000000000)</f>
        <v>6.4910025706940876E-5</v>
      </c>
      <c r="E21" s="1">
        <v>16</v>
      </c>
    </row>
    <row r="22" spans="1:5" x14ac:dyDescent="0.3">
      <c r="A22" s="1" t="s">
        <v>5</v>
      </c>
      <c r="C22" s="2"/>
      <c r="D22" s="6"/>
    </row>
    <row r="23" spans="1:5" x14ac:dyDescent="0.3">
      <c r="A23" s="1" t="s">
        <v>5</v>
      </c>
      <c r="C23" s="2"/>
      <c r="D23" s="6"/>
    </row>
    <row r="24" spans="1:5" x14ac:dyDescent="0.3">
      <c r="A24" s="1" t="s">
        <v>5</v>
      </c>
      <c r="C24" s="2"/>
      <c r="D24" s="6"/>
    </row>
    <row r="25" spans="1:5" x14ac:dyDescent="0.3">
      <c r="A25" s="1" t="s">
        <v>5</v>
      </c>
      <c r="C25" s="2"/>
      <c r="D25" s="6"/>
    </row>
    <row r="26" spans="1:5" x14ac:dyDescent="0.3">
      <c r="A26" s="1" t="s">
        <v>5</v>
      </c>
      <c r="C26" s="2"/>
      <c r="D26" s="6"/>
    </row>
    <row r="27" spans="1:5" x14ac:dyDescent="0.3">
      <c r="A27" s="1" t="s">
        <v>5</v>
      </c>
      <c r="C27" s="2"/>
      <c r="D27" s="6"/>
    </row>
    <row r="28" spans="1:5" x14ac:dyDescent="0.3">
      <c r="A28" s="1" t="s">
        <v>5</v>
      </c>
      <c r="C28" s="2"/>
      <c r="D28" s="6"/>
    </row>
    <row r="29" spans="1:5" x14ac:dyDescent="0.3">
      <c r="A29" s="1" t="s">
        <v>5</v>
      </c>
      <c r="C29" s="2"/>
      <c r="D29" s="6"/>
    </row>
    <row r="30" spans="1:5" x14ac:dyDescent="0.3">
      <c r="A30" s="1" t="s">
        <v>5</v>
      </c>
      <c r="C30" s="2"/>
      <c r="D30" s="6"/>
    </row>
    <row r="31" spans="1:5" x14ac:dyDescent="0.3">
      <c r="A31" s="1" t="s">
        <v>5</v>
      </c>
      <c r="C31" s="2"/>
      <c r="D31" s="6"/>
    </row>
    <row r="32" spans="1:5" x14ac:dyDescent="0.3">
      <c r="A32" s="4" t="s">
        <v>1</v>
      </c>
      <c r="B32" s="4">
        <v>10</v>
      </c>
      <c r="C32" s="5">
        <f>(0.000531/18.9)</f>
        <v>2.8095238095238096E-5</v>
      </c>
      <c r="D32" s="7">
        <f>(699000000/5290000000)/1</f>
        <v>0.13213610586011343</v>
      </c>
      <c r="E32" s="4">
        <v>12</v>
      </c>
    </row>
    <row r="33" spans="1:5" x14ac:dyDescent="0.3">
      <c r="A33" s="1" t="s">
        <v>1</v>
      </c>
      <c r="B33" s="1">
        <v>22</v>
      </c>
      <c r="C33" s="2">
        <f>(0.0004/29.2)/1</f>
        <v>1.3698630136986302E-5</v>
      </c>
      <c r="D33" s="6">
        <f>(4100000000/5580000000)</f>
        <v>0.73476702508960579</v>
      </c>
      <c r="E33" s="1">
        <v>29</v>
      </c>
    </row>
    <row r="34" spans="1:5" x14ac:dyDescent="0.3">
      <c r="A34" s="1" t="s">
        <v>1</v>
      </c>
      <c r="B34" s="1">
        <v>15</v>
      </c>
      <c r="C34" s="2">
        <f>(0.000339/31.8)</f>
        <v>1.0660377358490567E-5</v>
      </c>
      <c r="D34" s="6">
        <f>(4020000000/6060000000000)</f>
        <v>6.6336633663366341E-4</v>
      </c>
      <c r="E34" s="1">
        <v>26</v>
      </c>
    </row>
    <row r="35" spans="1:5" x14ac:dyDescent="0.3">
      <c r="A35" s="1" t="s">
        <v>1</v>
      </c>
      <c r="B35" s="1">
        <v>10</v>
      </c>
      <c r="C35" s="2">
        <f>(0.000104/32)</f>
        <v>3.2499999999999998E-6</v>
      </c>
      <c r="D35" s="6">
        <f>(1790000000/6350000000000)</f>
        <v>2.8188976377952754E-4</v>
      </c>
      <c r="E35" s="1">
        <v>30</v>
      </c>
    </row>
    <row r="36" spans="1:5" x14ac:dyDescent="0.3">
      <c r="A36" s="1" t="s">
        <v>1</v>
      </c>
      <c r="B36" s="1">
        <v>10</v>
      </c>
      <c r="C36" s="2">
        <f>(0.000516/39.2)</f>
        <v>1.3163265306122448E-5</v>
      </c>
      <c r="D36" s="6">
        <f>(110000000/7780000000000)</f>
        <v>1.4138817480719794E-5</v>
      </c>
      <c r="E36" s="1">
        <v>0</v>
      </c>
    </row>
    <row r="37" spans="1:5" x14ac:dyDescent="0.3">
      <c r="A37" s="1" t="s">
        <v>1</v>
      </c>
      <c r="B37" s="1">
        <v>17</v>
      </c>
      <c r="C37" s="2">
        <f>(0.116/0.331)/10</f>
        <v>3.5045317220543812E-2</v>
      </c>
      <c r="D37" s="6">
        <f>(1430000000/10300000000000)</f>
        <v>1.3883495145631069E-4</v>
      </c>
      <c r="E37" s="1">
        <v>13</v>
      </c>
    </row>
    <row r="38" spans="1:5" x14ac:dyDescent="0.3">
      <c r="A38" s="1" t="s">
        <v>1</v>
      </c>
      <c r="C38" s="2"/>
      <c r="D38" s="6"/>
    </row>
    <row r="39" spans="1:5" x14ac:dyDescent="0.3">
      <c r="A39" s="1" t="s">
        <v>1</v>
      </c>
      <c r="C39" s="2"/>
      <c r="D39" s="6"/>
    </row>
    <row r="40" spans="1:5" x14ac:dyDescent="0.3">
      <c r="A40" s="1" t="s">
        <v>1</v>
      </c>
      <c r="C40" s="2"/>
      <c r="D40" s="6"/>
    </row>
    <row r="41" spans="1:5" x14ac:dyDescent="0.3">
      <c r="A41" s="1" t="s">
        <v>1</v>
      </c>
      <c r="C41" s="2"/>
      <c r="D41" s="6"/>
    </row>
    <row r="42" spans="1:5" x14ac:dyDescent="0.3">
      <c r="A42" s="1" t="s">
        <v>1</v>
      </c>
      <c r="C42" s="2"/>
      <c r="D42" s="6"/>
    </row>
    <row r="43" spans="1:5" x14ac:dyDescent="0.3">
      <c r="A43" s="1" t="s">
        <v>1</v>
      </c>
      <c r="C43" s="2"/>
      <c r="D43" s="6"/>
    </row>
    <row r="44" spans="1:5" x14ac:dyDescent="0.3">
      <c r="A44" s="1" t="s">
        <v>1</v>
      </c>
      <c r="C44" s="2"/>
      <c r="D44" s="6"/>
    </row>
    <row r="45" spans="1:5" x14ac:dyDescent="0.3">
      <c r="A45" s="1" t="s">
        <v>1</v>
      </c>
      <c r="C45" s="2"/>
      <c r="D45" s="6"/>
    </row>
    <row r="46" spans="1:5" x14ac:dyDescent="0.3">
      <c r="A46" s="1" t="s">
        <v>1</v>
      </c>
      <c r="C46" s="2"/>
      <c r="D46" s="6"/>
    </row>
    <row r="47" spans="1:5" x14ac:dyDescent="0.3">
      <c r="A47" s="4" t="s">
        <v>4</v>
      </c>
      <c r="B47" s="4">
        <v>16</v>
      </c>
      <c r="C47" s="5">
        <f>(0.0118/29.1)/1</f>
        <v>4.0549828178694156E-4</v>
      </c>
      <c r="D47" s="7">
        <f>(932000000/5290000000)/1</f>
        <v>0.17618147448015123</v>
      </c>
      <c r="E47" s="4">
        <v>12</v>
      </c>
    </row>
    <row r="48" spans="1:5" x14ac:dyDescent="0.3">
      <c r="A48" s="1" t="s">
        <v>4</v>
      </c>
      <c r="B48" s="1">
        <v>17</v>
      </c>
      <c r="C48" s="2">
        <f>(0.000258/31.6)/1</f>
        <v>8.1645569620253162E-6</v>
      </c>
      <c r="D48" s="6">
        <f>(1510000000/6050000000000)</f>
        <v>2.4958677685950413E-4</v>
      </c>
      <c r="E48" s="1">
        <v>22</v>
      </c>
    </row>
    <row r="49" spans="1:5" x14ac:dyDescent="0.3">
      <c r="A49" s="1" t="s">
        <v>4</v>
      </c>
      <c r="B49" s="1">
        <v>9</v>
      </c>
      <c r="C49" s="2">
        <f>(0.000104/31.8)/1</f>
        <v>3.2704402515723267E-6</v>
      </c>
      <c r="D49" s="6">
        <f>(1210000000/6070000000000)/1</f>
        <v>1.9934102141680395E-4</v>
      </c>
      <c r="E49" s="1">
        <v>10</v>
      </c>
    </row>
    <row r="50" spans="1:5" x14ac:dyDescent="0.3">
      <c r="A50" s="1" t="s">
        <v>4</v>
      </c>
      <c r="B50" s="1">
        <v>23</v>
      </c>
      <c r="C50" s="2">
        <f>(0.000413/32)/1</f>
        <v>1.290625E-5</v>
      </c>
      <c r="D50" s="6">
        <f>(8590000000/6350000000000)</f>
        <v>1.3527559055118111E-3</v>
      </c>
      <c r="E50" s="1">
        <v>24</v>
      </c>
    </row>
    <row r="51" spans="1:5" x14ac:dyDescent="0.3">
      <c r="A51" s="1" t="s">
        <v>4</v>
      </c>
      <c r="B51" s="1">
        <v>9</v>
      </c>
      <c r="C51" s="2">
        <f>(0.000122/39.2)</f>
        <v>3.1122448979591832E-6</v>
      </c>
      <c r="D51" s="8">
        <f>(13800000000/7780000000000)</f>
        <v>1.7737789203084832E-3</v>
      </c>
      <c r="E51" s="1">
        <v>21</v>
      </c>
    </row>
    <row r="52" spans="1:5" x14ac:dyDescent="0.3">
      <c r="A52" s="1" t="s">
        <v>4</v>
      </c>
      <c r="B52" s="1">
        <v>10</v>
      </c>
      <c r="C52" s="2">
        <f>(0.113/0.589)/10</f>
        <v>1.9185059422750426E-2</v>
      </c>
      <c r="D52" s="6">
        <f>(1320000000/10300000000000)</f>
        <v>1.2815533980582524E-4</v>
      </c>
      <c r="E52" s="1">
        <v>16</v>
      </c>
    </row>
    <row r="53" spans="1:5" x14ac:dyDescent="0.3">
      <c r="A53" s="1" t="s">
        <v>4</v>
      </c>
      <c r="C53" s="2"/>
      <c r="D53" s="6"/>
    </row>
    <row r="54" spans="1:5" x14ac:dyDescent="0.3">
      <c r="A54" s="1" t="s">
        <v>4</v>
      </c>
      <c r="C54" s="2"/>
      <c r="D54" s="6"/>
    </row>
    <row r="55" spans="1:5" x14ac:dyDescent="0.3">
      <c r="A55" s="1" t="s">
        <v>4</v>
      </c>
      <c r="C55" s="2"/>
      <c r="D55" s="6"/>
    </row>
    <row r="56" spans="1:5" x14ac:dyDescent="0.3">
      <c r="A56" s="1" t="s">
        <v>4</v>
      </c>
      <c r="C56" s="2"/>
    </row>
    <row r="57" spans="1:5" x14ac:dyDescent="0.3">
      <c r="A57" s="1" t="s">
        <v>4</v>
      </c>
      <c r="C57" s="2"/>
    </row>
    <row r="58" spans="1:5" x14ac:dyDescent="0.3">
      <c r="A58" s="1" t="s">
        <v>4</v>
      </c>
      <c r="C58" s="2"/>
    </row>
    <row r="59" spans="1:5" x14ac:dyDescent="0.3">
      <c r="A59" s="1" t="s">
        <v>4</v>
      </c>
      <c r="C59" s="2"/>
    </row>
    <row r="60" spans="1:5" x14ac:dyDescent="0.3">
      <c r="A60" s="1" t="s">
        <v>4</v>
      </c>
      <c r="C60" s="2"/>
    </row>
    <row r="61" spans="1:5" x14ac:dyDescent="0.3">
      <c r="A61" s="1" t="s">
        <v>4</v>
      </c>
      <c r="C6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2025-01-23T10:49:50Z</dcterms:created>
  <dcterms:modified xsi:type="dcterms:W3CDTF">2025-01-28T16:45:23Z</dcterms:modified>
</cp:coreProperties>
</file>
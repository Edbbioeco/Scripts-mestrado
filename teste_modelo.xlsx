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G:\Meu Drive\UFPE\projeto mestrado\mestrado\"/>
    </mc:Choice>
  </mc:AlternateContent>
  <xr:revisionPtr revIDLastSave="0" documentId="13_ncr:1_{30215C29-2783-4457-BC78-8A5A660C0F5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 1" sheetId="1" r:id="rId1"/>
    <sheet name="Planilh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1" l="1"/>
  <c r="N3" i="1"/>
  <c r="N2" i="1"/>
  <c r="B11" i="2"/>
  <c r="B10" i="2"/>
  <c r="B9" i="2"/>
  <c r="B8" i="2"/>
  <c r="B7" i="2"/>
  <c r="B6" i="2"/>
  <c r="B5" i="2"/>
  <c r="B4" i="2"/>
  <c r="B3" i="2"/>
  <c r="B2" i="2"/>
  <c r="K12" i="1"/>
  <c r="J12" i="1"/>
  <c r="I12" i="1"/>
  <c r="H12" i="1"/>
  <c r="G12" i="1"/>
  <c r="F12" i="1"/>
  <c r="E12" i="1"/>
  <c r="D12" i="1"/>
  <c r="C12" i="1"/>
  <c r="B12" i="1"/>
</calcChain>
</file>

<file path=xl/sharedStrings.xml><?xml version="1.0" encoding="utf-8"?>
<sst xmlns="http://schemas.openxmlformats.org/spreadsheetml/2006/main" count="48" uniqueCount="26">
  <si>
    <t>Comunidade</t>
  </si>
  <si>
    <t>sp1</t>
  </si>
  <si>
    <t>sp2</t>
  </si>
  <si>
    <t>sp3</t>
  </si>
  <si>
    <t>sp4</t>
  </si>
  <si>
    <t>sp5</t>
  </si>
  <si>
    <t>sp6</t>
  </si>
  <si>
    <t>sp7</t>
  </si>
  <si>
    <t>sp8</t>
  </si>
  <si>
    <t>sp9</t>
  </si>
  <si>
    <t>sp10</t>
  </si>
  <si>
    <t>prec</t>
  </si>
  <si>
    <t>Arb</t>
  </si>
  <si>
    <t>Com_1</t>
  </si>
  <si>
    <t>Com_2</t>
  </si>
  <si>
    <t>Com_3</t>
  </si>
  <si>
    <t>Com_4</t>
  </si>
  <si>
    <t>Com_5</t>
  </si>
  <si>
    <t>Com_6</t>
  </si>
  <si>
    <t>Com_7</t>
  </si>
  <si>
    <t>Com_8</t>
  </si>
  <si>
    <t>Com_9</t>
  </si>
  <si>
    <t>Com_10</t>
  </si>
  <si>
    <t>Valor</t>
  </si>
  <si>
    <t>Espécie</t>
  </si>
  <si>
    <t>M.R.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</si>
</sst>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8</xdr:row>
      <xdr:rowOff>0</xdr:rowOff>
    </xdr:from>
    <xdr:to>
      <xdr:col>9</xdr:col>
      <xdr:colOff>57158</xdr:colOff>
      <xdr:row>8</xdr:row>
      <xdr:rowOff>28579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4B4A23E-F87B-3D8C-7D62-4C49E64D92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158" cy="285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workbookViewId="0">
      <selection activeCell="N4" sqref="N4"/>
    </sheetView>
  </sheetViews>
  <sheetFormatPr defaultColWidth="11.5546875" defaultRowHeight="14.4" x14ac:dyDescent="0.3"/>
  <cols>
    <col min="2" max="2" width="8.2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25</v>
      </c>
    </row>
    <row r="2" spans="1:14" x14ac:dyDescent="0.3">
      <c r="A2" t="s">
        <v>13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3200</v>
      </c>
      <c r="M2">
        <v>1</v>
      </c>
      <c r="N2">
        <f>(B12*SUM(B2:B11))/SUM(B2:B11)</f>
        <v>2557.8333333333335</v>
      </c>
    </row>
    <row r="3" spans="1:14" x14ac:dyDescent="0.3">
      <c r="A3" t="s">
        <v>14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3112</v>
      </c>
      <c r="M3">
        <v>2</v>
      </c>
      <c r="N3">
        <f>(C12*SUM(C2:C11))/SUM(C2:C11)</f>
        <v>2384.1666666666665</v>
      </c>
    </row>
    <row r="4" spans="1:14" x14ac:dyDescent="0.3">
      <c r="A4" t="s">
        <v>15</v>
      </c>
      <c r="B4">
        <v>1</v>
      </c>
      <c r="C4">
        <v>1</v>
      </c>
      <c r="D4">
        <v>1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2800</v>
      </c>
      <c r="M4">
        <v>3</v>
      </c>
      <c r="N4">
        <f>(D12*SUM(D2:D11))/SUM(D2:D11)</f>
        <v>2339</v>
      </c>
    </row>
    <row r="5" spans="1:14" x14ac:dyDescent="0.3">
      <c r="A5" t="s">
        <v>16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1</v>
      </c>
      <c r="I5">
        <v>1</v>
      </c>
      <c r="J5">
        <v>1</v>
      </c>
      <c r="K5">
        <v>1</v>
      </c>
      <c r="L5">
        <v>1800</v>
      </c>
      <c r="M5">
        <v>4</v>
      </c>
    </row>
    <row r="6" spans="1:14" x14ac:dyDescent="0.3">
      <c r="A6" t="s">
        <v>17</v>
      </c>
      <c r="B6">
        <v>0</v>
      </c>
      <c r="C6">
        <v>1</v>
      </c>
      <c r="D6">
        <v>0</v>
      </c>
      <c r="E6">
        <v>1</v>
      </c>
      <c r="F6">
        <v>0</v>
      </c>
      <c r="G6">
        <v>1</v>
      </c>
      <c r="H6">
        <v>0</v>
      </c>
      <c r="I6">
        <v>1</v>
      </c>
      <c r="J6">
        <v>1</v>
      </c>
      <c r="K6">
        <v>0</v>
      </c>
      <c r="L6">
        <v>2906</v>
      </c>
      <c r="M6">
        <v>5</v>
      </c>
    </row>
    <row r="7" spans="1:14" x14ac:dyDescent="0.3">
      <c r="A7" t="s">
        <v>18</v>
      </c>
      <c r="B7">
        <v>1</v>
      </c>
      <c r="C7">
        <v>0</v>
      </c>
      <c r="D7">
        <v>1</v>
      </c>
      <c r="E7">
        <v>0</v>
      </c>
      <c r="F7">
        <v>1</v>
      </c>
      <c r="G7">
        <v>1</v>
      </c>
      <c r="H7">
        <v>0</v>
      </c>
      <c r="I7">
        <v>1</v>
      </c>
      <c r="J7">
        <v>1</v>
      </c>
      <c r="K7">
        <v>0</v>
      </c>
      <c r="L7">
        <v>3005</v>
      </c>
      <c r="M7">
        <v>6</v>
      </c>
    </row>
    <row r="8" spans="1:14" x14ac:dyDescent="0.3">
      <c r="A8" t="s">
        <v>19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930</v>
      </c>
      <c r="M8">
        <v>7</v>
      </c>
    </row>
    <row r="9" spans="1:14" x14ac:dyDescent="0.3">
      <c r="A9" t="s">
        <v>20</v>
      </c>
      <c r="B9">
        <v>1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1</v>
      </c>
      <c r="J9">
        <v>1</v>
      </c>
      <c r="K9">
        <v>0</v>
      </c>
      <c r="L9">
        <v>1000</v>
      </c>
      <c r="M9">
        <v>8</v>
      </c>
    </row>
    <row r="10" spans="1:14" x14ac:dyDescent="0.3">
      <c r="A10" t="s">
        <v>21</v>
      </c>
      <c r="B10">
        <v>1</v>
      </c>
      <c r="C10">
        <v>1</v>
      </c>
      <c r="D10">
        <v>0</v>
      </c>
      <c r="E10">
        <v>1</v>
      </c>
      <c r="F10">
        <v>0</v>
      </c>
      <c r="G10">
        <v>1</v>
      </c>
      <c r="H10">
        <v>1</v>
      </c>
      <c r="I10">
        <v>1</v>
      </c>
      <c r="J10">
        <v>0</v>
      </c>
      <c r="K10">
        <v>0</v>
      </c>
      <c r="L10">
        <v>1300</v>
      </c>
      <c r="M10">
        <v>9</v>
      </c>
    </row>
    <row r="11" spans="1:14" x14ac:dyDescent="0.3">
      <c r="A11" t="s">
        <v>22</v>
      </c>
      <c r="B11">
        <v>0</v>
      </c>
      <c r="C11">
        <v>1</v>
      </c>
      <c r="D11">
        <v>1</v>
      </c>
      <c r="E11">
        <v>0</v>
      </c>
      <c r="F11">
        <v>1</v>
      </c>
      <c r="G11">
        <v>0</v>
      </c>
      <c r="H11">
        <v>0</v>
      </c>
      <c r="I11">
        <v>1</v>
      </c>
      <c r="J11">
        <v>0</v>
      </c>
      <c r="K11">
        <v>0</v>
      </c>
      <c r="L11">
        <v>987</v>
      </c>
      <c r="M11">
        <v>10</v>
      </c>
    </row>
    <row r="12" spans="1:14" x14ac:dyDescent="0.3">
      <c r="A12" t="s">
        <v>23</v>
      </c>
      <c r="B12">
        <f>(SUM(L2:L4,L7:L9,L10)/6)</f>
        <v>2557.8333333333335</v>
      </c>
      <c r="C12">
        <f>(SUM(L2:L4,L6,L10,L11)/6)</f>
        <v>2384.1666666666665</v>
      </c>
      <c r="D12">
        <f>(SUM(L2:L4,L7,L8,L11)/6)</f>
        <v>2339</v>
      </c>
      <c r="E12">
        <f>(SUM(L2:L4,L6,L10)/6)</f>
        <v>2219.6666666666665</v>
      </c>
      <c r="F12">
        <f>(SUM(L2:L4,L7,L11)/5)</f>
        <v>2620.8000000000002</v>
      </c>
      <c r="G12">
        <f>(SUM(L2:L3,L5:L7,L9:L10)/7)</f>
        <v>2331.8571428571427</v>
      </c>
      <c r="H12">
        <f>(SUM(L2:L3,L5,L8,L10)/5)</f>
        <v>2068.4</v>
      </c>
      <c r="I12">
        <f>(SUM(L2:L3,L5,L6:L7,L9:L11)/8)</f>
        <v>2163.75</v>
      </c>
      <c r="J12">
        <f>(SUM(L2:L3,L5:L7,L9)/6)</f>
        <v>2503.8333333333335</v>
      </c>
      <c r="K12">
        <f>(SUM(L2:L3,L5)/3)</f>
        <v>2704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D9493-DB19-41ED-87B4-9882457EFE48}">
  <dimension ref="A1:T19"/>
  <sheetViews>
    <sheetView workbookViewId="0">
      <selection activeCell="C2" sqref="C2"/>
    </sheetView>
  </sheetViews>
  <sheetFormatPr defaultRowHeight="14.4" x14ac:dyDescent="0.3"/>
  <sheetData>
    <row r="1" spans="1:20" x14ac:dyDescent="0.3">
      <c r="A1" t="s">
        <v>24</v>
      </c>
      <c r="B1" t="s">
        <v>23</v>
      </c>
    </row>
    <row r="2" spans="1:20" x14ac:dyDescent="0.3">
      <c r="A2" t="s">
        <v>1</v>
      </c>
      <c r="B2">
        <f>(SUM(T10:T12,T15:T17,T18)/6)</f>
        <v>2557.8333333333335</v>
      </c>
      <c r="C2">
        <v>2557.8330000000001</v>
      </c>
    </row>
    <row r="3" spans="1:20" x14ac:dyDescent="0.3">
      <c r="A3" t="s">
        <v>2</v>
      </c>
      <c r="B3">
        <f>(SUM(T10:T12,T14,T18,T19)/6)</f>
        <v>2384.1666666666665</v>
      </c>
    </row>
    <row r="4" spans="1:20" x14ac:dyDescent="0.3">
      <c r="A4" t="s">
        <v>3</v>
      </c>
      <c r="B4">
        <f>(SUM(T10:T12,T15,T16,T19)/6)</f>
        <v>2339</v>
      </c>
    </row>
    <row r="5" spans="1:20" x14ac:dyDescent="0.3">
      <c r="A5" t="s">
        <v>4</v>
      </c>
      <c r="B5">
        <f>(SUM(T10:T12,T14,T18)/6)</f>
        <v>2219.6666666666665</v>
      </c>
    </row>
    <row r="6" spans="1:20" x14ac:dyDescent="0.3">
      <c r="A6" t="s">
        <v>5</v>
      </c>
      <c r="B6">
        <f>(SUM(T10:T12,T15,T19)/5)</f>
        <v>2620.8000000000002</v>
      </c>
    </row>
    <row r="7" spans="1:20" x14ac:dyDescent="0.3">
      <c r="A7" t="s">
        <v>6</v>
      </c>
      <c r="B7">
        <f>(SUM(T10:T11,T13:T15,T17:T18)/7)</f>
        <v>2331.8571428571427</v>
      </c>
    </row>
    <row r="8" spans="1:20" x14ac:dyDescent="0.3">
      <c r="A8" t="s">
        <v>7</v>
      </c>
      <c r="B8">
        <f>(SUM(T10:T11,T13,T16,T18)/5)</f>
        <v>2068.4</v>
      </c>
    </row>
    <row r="9" spans="1:20" x14ac:dyDescent="0.3">
      <c r="A9" t="s">
        <v>8</v>
      </c>
      <c r="B9">
        <f>(SUM(T10:T11,T13,T14:T15,T17:T19)/8)</f>
        <v>2163.75</v>
      </c>
      <c r="J9" t="s">
        <v>1</v>
      </c>
      <c r="K9" t="s">
        <v>2</v>
      </c>
      <c r="L9" t="s">
        <v>3</v>
      </c>
      <c r="M9" t="s">
        <v>4</v>
      </c>
      <c r="N9" t="s">
        <v>5</v>
      </c>
      <c r="O9" t="s">
        <v>6</v>
      </c>
      <c r="P9" t="s">
        <v>7</v>
      </c>
      <c r="Q9" t="s">
        <v>8</v>
      </c>
      <c r="R9" t="s">
        <v>9</v>
      </c>
      <c r="S9" t="s">
        <v>10</v>
      </c>
      <c r="T9" t="s">
        <v>11</v>
      </c>
    </row>
    <row r="10" spans="1:20" x14ac:dyDescent="0.3">
      <c r="A10" t="s">
        <v>9</v>
      </c>
      <c r="B10">
        <f>(SUM(T10:T11,T13:T15,T17)/6)</f>
        <v>2503.8333333333335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3200</v>
      </c>
    </row>
    <row r="11" spans="1:20" x14ac:dyDescent="0.3">
      <c r="A11" t="s">
        <v>10</v>
      </c>
      <c r="B11">
        <f>(SUM(T10:T11,T13)/3)</f>
        <v>2704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3112</v>
      </c>
    </row>
    <row r="12" spans="1:20" x14ac:dyDescent="0.3">
      <c r="J12">
        <v>1</v>
      </c>
      <c r="K12">
        <v>1</v>
      </c>
      <c r="L12">
        <v>1</v>
      </c>
      <c r="M12">
        <v>1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2800</v>
      </c>
    </row>
    <row r="13" spans="1:20" x14ac:dyDescent="0.3"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1</v>
      </c>
      <c r="Q13">
        <v>1</v>
      </c>
      <c r="R13">
        <v>1</v>
      </c>
      <c r="S13">
        <v>1</v>
      </c>
      <c r="T13">
        <v>1800</v>
      </c>
    </row>
    <row r="14" spans="1:20" x14ac:dyDescent="0.3">
      <c r="J14">
        <v>0</v>
      </c>
      <c r="K14">
        <v>1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1</v>
      </c>
      <c r="S14">
        <v>0</v>
      </c>
      <c r="T14">
        <v>2906</v>
      </c>
    </row>
    <row r="15" spans="1:20" x14ac:dyDescent="0.3">
      <c r="J15">
        <v>1</v>
      </c>
      <c r="K15">
        <v>0</v>
      </c>
      <c r="L15">
        <v>1</v>
      </c>
      <c r="M15">
        <v>0</v>
      </c>
      <c r="N15">
        <v>1</v>
      </c>
      <c r="O15">
        <v>1</v>
      </c>
      <c r="P15">
        <v>0</v>
      </c>
      <c r="Q15">
        <v>1</v>
      </c>
      <c r="R15">
        <v>1</v>
      </c>
      <c r="S15">
        <v>0</v>
      </c>
      <c r="T15">
        <v>3005</v>
      </c>
    </row>
    <row r="16" spans="1:20" x14ac:dyDescent="0.3"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930</v>
      </c>
    </row>
    <row r="17" spans="10:20" x14ac:dyDescent="0.3">
      <c r="J17">
        <v>1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1</v>
      </c>
      <c r="R17">
        <v>1</v>
      </c>
      <c r="S17">
        <v>0</v>
      </c>
      <c r="T17">
        <v>1000</v>
      </c>
    </row>
    <row r="18" spans="10:20" x14ac:dyDescent="0.3">
      <c r="J18">
        <v>1</v>
      </c>
      <c r="K18">
        <v>1</v>
      </c>
      <c r="L18">
        <v>0</v>
      </c>
      <c r="M18">
        <v>1</v>
      </c>
      <c r="N18">
        <v>0</v>
      </c>
      <c r="O18">
        <v>1</v>
      </c>
      <c r="P18">
        <v>1</v>
      </c>
      <c r="Q18">
        <v>1</v>
      </c>
      <c r="R18">
        <v>0</v>
      </c>
      <c r="S18">
        <v>0</v>
      </c>
      <c r="T18">
        <v>1300</v>
      </c>
    </row>
    <row r="19" spans="10:20" x14ac:dyDescent="0.3">
      <c r="J19">
        <v>0</v>
      </c>
      <c r="K19">
        <v>1</v>
      </c>
      <c r="L19">
        <v>1</v>
      </c>
      <c r="M19">
        <v>0</v>
      </c>
      <c r="N19">
        <v>1</v>
      </c>
      <c r="O19">
        <v>0</v>
      </c>
      <c r="P19">
        <v>0</v>
      </c>
      <c r="Q19">
        <v>1</v>
      </c>
      <c r="R19">
        <v>0</v>
      </c>
      <c r="S19">
        <v>0</v>
      </c>
      <c r="T19">
        <v>987</v>
      </c>
    </row>
  </sheetData>
  <phoneticPr fontId="1" type="noConversion"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 1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edson</dc:creator>
  <cp:lastModifiedBy>Edson Silva</cp:lastModifiedBy>
  <dcterms:created xsi:type="dcterms:W3CDTF">2025-03-10T18:51:24Z</dcterms:created>
  <dcterms:modified xsi:type="dcterms:W3CDTF">2025-03-11T18:55:18Z</dcterms:modified>
</cp:coreProperties>
</file>